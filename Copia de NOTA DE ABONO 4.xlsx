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33959\Downloads\"/>
    </mc:Choice>
  </mc:AlternateContent>
  <xr:revisionPtr revIDLastSave="0" documentId="13_ncr:1_{A27CA88A-2201-433E-B8F0-80E40DB45B1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OLES" sheetId="1" r:id="rId1"/>
  </sheets>
  <definedNames>
    <definedName name="_xlnm.Print_Area" localSheetId="0">SOLES!$A$1:$G$59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  <c r="J4" i="1"/>
  <c r="D7" i="1"/>
  <c r="J14" i="1"/>
  <c r="G7" i="1"/>
  <c r="I19" i="1" l="1"/>
  <c r="B48" i="1" l="1"/>
  <c r="B20" i="1"/>
  <c r="B14" i="1"/>
  <c r="A8" i="1" l="1"/>
  <c r="C8" i="1"/>
  <c r="B47" i="1" l="1"/>
  <c r="A7" i="1"/>
  <c r="A14" i="1"/>
  <c r="D14" i="1"/>
  <c r="E14" i="1"/>
  <c r="F15" i="1"/>
  <c r="G15" i="1"/>
  <c r="F53" i="1"/>
  <c r="A20" i="1"/>
  <c r="C21" i="1"/>
  <c r="D21" i="1"/>
  <c r="D22" i="1"/>
  <c r="D24" i="1"/>
  <c r="B41" i="1"/>
  <c r="E41" i="1"/>
  <c r="G41" i="1"/>
  <c r="B42" i="1"/>
  <c r="B43" i="1"/>
  <c r="A48" i="1"/>
  <c r="C48" i="1"/>
  <c r="D48" i="1"/>
  <c r="F48" i="1"/>
  <c r="G48" i="1"/>
  <c r="E11" i="1" l="1"/>
</calcChain>
</file>

<file path=xl/sharedStrings.xml><?xml version="1.0" encoding="utf-8"?>
<sst xmlns="http://schemas.openxmlformats.org/spreadsheetml/2006/main" count="77" uniqueCount="74">
  <si>
    <t>NOTA DE ABONO</t>
  </si>
  <si>
    <t>R.U.C. 20100053455</t>
  </si>
  <si>
    <t>CONCEPTO</t>
  </si>
  <si>
    <t>IMPORTE</t>
  </si>
  <si>
    <t>DIRECCION:</t>
  </si>
  <si>
    <t>Base Legal:</t>
  </si>
  <si>
    <t>numeral 2 del inciso g) del art.21 del Reglamento del Impuesto a la Renta aprobado por el Decreto Supremo No. 122-94-EF</t>
  </si>
  <si>
    <t>Condonación  en vía transacción de la cuenta de cobranza dudosa, según transaccion extrajudicial</t>
  </si>
  <si>
    <t>No.</t>
  </si>
  <si>
    <t>TRANSACCIÓN EXTRAJUDICIAL</t>
  </si>
  <si>
    <t>alguna, la siguiente obligación:</t>
  </si>
  <si>
    <t>EL DEUDOR</t>
  </si>
  <si>
    <t>EL BANCO</t>
  </si>
  <si>
    <t>NOMBRE:</t>
  </si>
  <si>
    <t xml:space="preserve"> con D.N.I. Nº</t>
  </si>
  <si>
    <t>Num. De cuotas</t>
  </si>
  <si>
    <t>Fecha de pago:</t>
  </si>
  <si>
    <t>sin reserva ni limitación</t>
  </si>
  <si>
    <t>Fecha:</t>
  </si>
  <si>
    <t>Dia :</t>
  </si>
  <si>
    <t>SR:(a) (Srta)</t>
  </si>
  <si>
    <t>DNI :</t>
  </si>
  <si>
    <t xml:space="preserve">firmado   el </t>
  </si>
  <si>
    <t>originada por:</t>
  </si>
  <si>
    <t>Nota de Abono Nº</t>
  </si>
  <si>
    <r>
      <t xml:space="preserve">Conste  por  el presente documento la </t>
    </r>
    <r>
      <rPr>
        <b/>
        <sz val="9"/>
        <rFont val="Arial Narrow"/>
        <family val="2"/>
      </rPr>
      <t>TRANSACCION EXTRAJUDICIAL</t>
    </r>
    <r>
      <rPr>
        <sz val="9"/>
        <rFont val="Arial Narrow"/>
        <family val="2"/>
      </rPr>
      <t xml:space="preserve"> que celebran de una parte </t>
    </r>
    <r>
      <rPr>
        <b/>
        <sz val="9"/>
        <rFont val="Arial Narrow"/>
        <family val="2"/>
      </rPr>
      <t>INTERBANK</t>
    </r>
    <r>
      <rPr>
        <sz val="9"/>
        <rFont val="Arial Narrow"/>
        <family val="2"/>
      </rPr>
      <t>, con RUC N°20100053455</t>
    </r>
  </si>
  <si>
    <t xml:space="preserve">con dirección domiciliaria en </t>
  </si>
  <si>
    <t>"EL BANCO"</t>
  </si>
  <si>
    <t>del crédito que a continuación se detallan:</t>
  </si>
  <si>
    <r>
      <t>SEGUNDA</t>
    </r>
    <r>
      <rPr>
        <b/>
        <sz val="9"/>
        <rFont val="Arial Narrow"/>
        <family val="2"/>
      </rPr>
      <t>.-</t>
    </r>
    <r>
      <rPr>
        <sz val="9"/>
        <rFont val="Arial Narrow"/>
        <family val="2"/>
      </rPr>
      <t xml:space="preserve">  </t>
    </r>
    <r>
      <rPr>
        <b/>
        <sz val="9"/>
        <rFont val="Arial Narrow"/>
        <family val="2"/>
      </rPr>
      <t>EL DEUDOR</t>
    </r>
    <r>
      <rPr>
        <sz val="9"/>
        <rFont val="Arial Narrow"/>
        <family val="2"/>
      </rPr>
      <t xml:space="preserve">  se compromete  a cancelar a  </t>
    </r>
    <r>
      <rPr>
        <b/>
        <sz val="9"/>
        <rFont val="Arial Narrow"/>
        <family val="2"/>
      </rPr>
      <t>EL BANCO</t>
    </r>
    <r>
      <rPr>
        <sz val="9"/>
        <rFont val="Arial Narrow"/>
        <family val="2"/>
      </rPr>
      <t xml:space="preserve"> el importe reconocido en la cláusula anterior, conforme a las condiciones </t>
    </r>
  </si>
  <si>
    <t>invalidar los efectos de la presente.</t>
  </si>
  <si>
    <r>
      <t>TERCERA</t>
    </r>
    <r>
      <rPr>
        <b/>
        <sz val="9"/>
        <rFont val="Arial Narrow"/>
        <family val="2"/>
      </rPr>
      <t>.-</t>
    </r>
    <r>
      <rPr>
        <sz val="9"/>
        <rFont val="Arial Narrow"/>
        <family val="2"/>
      </rPr>
      <t>Las partes intervinientes, renuncian definitivamente a las acciones que tuvieran entre sí respecto del objeto de la presente transacción</t>
    </r>
  </si>
  <si>
    <t xml:space="preserve"> ello  de  conformidad  con  el  artículo   1303°  del Código Civil,  por tanto  renuncian expresamente a cualquier acción o excepción que tienda a </t>
  </si>
  <si>
    <t xml:space="preserve"> la Cláusula Primera de la presente.</t>
  </si>
  <si>
    <r>
      <t>CUARTA</t>
    </r>
    <r>
      <rPr>
        <b/>
        <sz val="9"/>
        <rFont val="Arial Narrow"/>
        <family val="2"/>
      </rPr>
      <t xml:space="preserve">.- </t>
    </r>
    <r>
      <rPr>
        <sz val="9"/>
        <rFont val="Arial Narrow"/>
        <family val="2"/>
      </rPr>
      <t xml:space="preserve">Las  partes dejan constancia que la presente transacción no constituye una novación de las obligaciones a que se hace referencia en </t>
    </r>
  </si>
  <si>
    <t xml:space="preserve">     Efectivo</t>
  </si>
  <si>
    <r>
      <t>PRIMERA</t>
    </r>
    <r>
      <rPr>
        <b/>
        <sz val="9"/>
        <rFont val="Arial Narrow"/>
        <family val="2"/>
      </rPr>
      <t>.-</t>
    </r>
    <r>
      <rPr>
        <sz val="9"/>
        <rFont val="Arial Narrow"/>
        <family val="2"/>
      </rPr>
      <t xml:space="preserve">Por  el  presente  documento  </t>
    </r>
    <r>
      <rPr>
        <b/>
        <sz val="9"/>
        <rFont val="Arial Narrow"/>
        <family val="2"/>
      </rPr>
      <t>EL  DEUDOR</t>
    </r>
    <r>
      <rPr>
        <sz val="9"/>
        <rFont val="Arial Narrow"/>
        <family val="2"/>
      </rPr>
      <t xml:space="preserve">  reconoce  adeudar  a </t>
    </r>
    <r>
      <rPr>
        <b/>
        <sz val="9"/>
        <rFont val="Arial Narrow"/>
        <family val="2"/>
      </rPr>
      <t>EL BANCO</t>
    </r>
    <r>
      <rPr>
        <sz val="9"/>
        <rFont val="Arial Narrow"/>
        <family val="2"/>
      </rPr>
      <t xml:space="preserve"> al</t>
    </r>
  </si>
  <si>
    <t>SALDO A CONDONAR</t>
  </si>
  <si>
    <t>PAGO X CAMPAÑA</t>
  </si>
  <si>
    <t>Carlos Villaran No. 140 - La Victoria - Lima - Perú</t>
  </si>
  <si>
    <t>Forma de pago                                                 :</t>
  </si>
  <si>
    <r>
      <rPr>
        <b/>
        <u/>
        <sz val="9"/>
        <rFont val="Arial Narrow"/>
        <family val="2"/>
      </rPr>
      <t>SEXTA.-</t>
    </r>
    <r>
      <rPr>
        <sz val="9"/>
        <rFont val="Calibri"/>
        <family val="2"/>
      </rPr>
      <t xml:space="preserve"> </t>
    </r>
    <r>
      <rPr>
        <sz val="9"/>
        <rFont val="Arial Narrow"/>
        <family val="2"/>
      </rPr>
      <t>Luego de transcurridos 30 días calendarios posteriores a la firma del presente documento, el cliente podrá iniciar el trámite por su Constancia de</t>
    </r>
  </si>
  <si>
    <t>DNI</t>
  </si>
  <si>
    <t>DISTRITO</t>
  </si>
  <si>
    <t xml:space="preserve">con CJ </t>
  </si>
  <si>
    <t>que servirá como N° de depósito</t>
  </si>
  <si>
    <t>CRÉDITO EFECTIVO N°</t>
  </si>
  <si>
    <t>TARJETA DE CRÉDITO N°</t>
  </si>
  <si>
    <t>CRÉDITO REFINANCIADO</t>
  </si>
  <si>
    <t>CRÉDITO POR CONVENIO</t>
  </si>
  <si>
    <t>Numero de cuotas                                             :</t>
  </si>
  <si>
    <t>Fecha de pago                                                  :</t>
  </si>
  <si>
    <t>MONEDA</t>
  </si>
  <si>
    <t>S/.</t>
  </si>
  <si>
    <t>$</t>
  </si>
  <si>
    <t xml:space="preserve">Importe Total a Cancelar                               : </t>
  </si>
  <si>
    <t xml:space="preserve"> para las  amortizaciones que se efectúen por la presente transacción, cuyo saldo a la fecha asciende a:</t>
  </si>
  <si>
    <t>No Adeudo ingresando un pedido mediante Banca Telefónica Interbank siempre y cuando no tenga otra deuda.</t>
  </si>
  <si>
    <t>de ser el caso solicitar el levantamiento del embargo; asumiendo todas las gestiones y gastos que dicho trámite genere.</t>
  </si>
  <si>
    <r>
      <rPr>
        <b/>
        <u/>
        <sz val="9"/>
        <rFont val="Arial Narrow"/>
        <family val="2"/>
      </rPr>
      <t>QUINTA.-</t>
    </r>
    <r>
      <rPr>
        <sz val="9"/>
        <rFont val="Calibri"/>
        <family val="2"/>
      </rPr>
      <t xml:space="preserve"> </t>
    </r>
    <r>
      <rPr>
        <sz val="9"/>
        <rFont val="Arial Narrow"/>
        <family val="2"/>
      </rPr>
      <t xml:space="preserve">Si por la presente obligación hubiera un proceso judicial iniciado, será responsabilidad de EL DEUDOR informar al Juzgado la cancelación de la deuda y </t>
    </r>
  </si>
  <si>
    <r>
      <t xml:space="preserve">o conjunta como </t>
    </r>
    <r>
      <rPr>
        <b/>
        <sz val="9"/>
        <rFont val="Arial Narrow"/>
        <family val="2"/>
      </rPr>
      <t>“EL DEUDOR”</t>
    </r>
    <r>
      <rPr>
        <sz val="9"/>
        <rFont val="Arial Narrow"/>
        <family val="2"/>
      </rPr>
      <t>; en los términos y condiciones contenidos en las cláusulas siguientes:</t>
    </r>
  </si>
  <si>
    <t>0850-2018-PU</t>
  </si>
  <si>
    <t>PROVINCIA</t>
  </si>
  <si>
    <t xml:space="preserve">a  quien  en  adelante  se  le  denominará  de manera  individual  </t>
  </si>
  <si>
    <t xml:space="preserve">Provincia y Departamento  de , </t>
  </si>
  <si>
    <t>DEUDA ANTES DEL PAGO (Capital)</t>
  </si>
  <si>
    <t xml:space="preserve"> con  domicilio  legal  en  Av. RIVERA NAVARRETE #- 791  –  SAN ISIDRO, debidamente representado por su apoderado Janet Robles Reyes </t>
  </si>
  <si>
    <r>
      <t xml:space="preserve"> con D.N.I Nº 47995790,  a quien en adelante se  le denominará  como </t>
    </r>
    <r>
      <rPr>
        <b/>
        <sz val="9"/>
        <rFont val="Arial Narrow"/>
        <family val="2"/>
      </rPr>
      <t>"EL BANCO"</t>
    </r>
    <r>
      <rPr>
        <sz val="9"/>
        <rFont val="Arial Narrow"/>
        <family val="2"/>
      </rPr>
      <t xml:space="preserve">, y de la otra parte,       </t>
    </r>
  </si>
  <si>
    <t>377754*****7642-7677721</t>
  </si>
  <si>
    <t>0047646338</t>
  </si>
  <si>
    <t>JHONY IRVYN CASTRO CARREÑO</t>
  </si>
  <si>
    <t>av piramide del sol 680</t>
  </si>
  <si>
    <t>san isidro</t>
  </si>
  <si>
    <t>arequipa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</si>
</sst>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[$-F800]dddd\,\ mmmm\ dd\,\ yyyy"/>
    <numFmt numFmtId="166" formatCode="_([$€]\ * #,##0.00_);_([$€]\ * \(#,##0.00\);_([$€]\ * &quot;-&quot;??_);_(@_)"/>
  </numFmts>
  <fonts count="20" x14ac:knownFonts="1">
    <font>
      <sz val="10"/>
      <name val="Arial"/>
    </font>
    <font>
      <sz val="10"/>
      <name val="Arial"/>
      <family val="2"/>
    </font>
    <font>
      <b/>
      <sz val="8"/>
      <name val="Arial Narrow"/>
      <family val="2"/>
    </font>
    <font>
      <sz val="9"/>
      <name val="Arial Narrow"/>
      <family val="2"/>
    </font>
    <font>
      <b/>
      <sz val="9"/>
      <name val="Arial Narrow"/>
      <family val="2"/>
    </font>
    <font>
      <b/>
      <u/>
      <sz val="9"/>
      <name val="Arial Narrow"/>
      <family val="2"/>
    </font>
    <font>
      <sz val="9"/>
      <name val="Calibri"/>
      <family val="2"/>
    </font>
    <font>
      <sz val="10"/>
      <name val="Arial Narrow"/>
      <family val="2"/>
    </font>
    <font>
      <b/>
      <u/>
      <sz val="11"/>
      <name val="Arial Narrow"/>
      <family val="2"/>
    </font>
    <font>
      <sz val="8"/>
      <name val="Arial Narrow"/>
      <family val="2"/>
    </font>
    <font>
      <sz val="7.5"/>
      <name val="Arial Narrow"/>
      <family val="2"/>
    </font>
    <font>
      <sz val="11"/>
      <color theme="1"/>
      <name val="Calibri"/>
      <family val="2"/>
      <scheme val="minor"/>
    </font>
    <font>
      <sz val="9"/>
      <color theme="1"/>
      <name val="Arial Narrow"/>
      <family val="2"/>
    </font>
    <font>
      <sz val="9"/>
      <color theme="0"/>
      <name val="Arial Narrow"/>
      <family val="2"/>
    </font>
    <font>
      <sz val="10"/>
      <color theme="1"/>
      <name val="Calibri"/>
      <family val="2"/>
      <scheme val="minor"/>
    </font>
    <font>
      <sz val="9"/>
      <color rgb="FFFF0000"/>
      <name val="Arial Narrow"/>
      <family val="2"/>
    </font>
    <font>
      <b/>
      <sz val="9"/>
      <color rgb="FFFF0000"/>
      <name val="Arial Narrow"/>
      <family val="2"/>
    </font>
    <font>
      <sz val="9"/>
      <color theme="1"/>
      <name val="Calibri"/>
      <family val="2"/>
      <scheme val="minor"/>
    </font>
    <font>
      <sz val="8"/>
      <color rgb="FF404A55"/>
      <name val="Arial"/>
      <family val="2"/>
    </font>
    <font>
      <sz val="9"/>
      <color rgb="FF333333"/>
      <name val="Open Sans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theme="4" tint="0.59999389629810485"/>
      </patternFill>
    </fill>
  </fills>
  <borders count="18">
    <border>
      <left/>
      <right/>
      <top/>
      <bottom/>
      <diagonal/>
    </border>
    <border>
      <left/>
      <right style="medium">
        <color indexed="0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3">
    <xf numFmtId="0" fontId="0" fillId="0" borderId="0"/>
    <xf numFmtId="0" fontId="1" fillId="0" borderId="0"/>
    <xf numFmtId="0" fontId="1" fillId="0" borderId="1"/>
    <xf numFmtId="0" fontId="1" fillId="0" borderId="0"/>
    <xf numFmtId="0" fontId="1" fillId="0" borderId="0"/>
    <xf numFmtId="0" fontId="1" fillId="0" borderId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1" fillId="0" borderId="0"/>
  </cellStyleXfs>
  <cellXfs count="73">
    <xf numFmtId="0" fontId="0" fillId="0" borderId="0" xfId="0"/>
    <xf numFmtId="0" fontId="3" fillId="0" borderId="0" xfId="0" applyFont="1"/>
    <xf numFmtId="0" fontId="4" fillId="0" borderId="0" xfId="0" applyFont="1"/>
    <xf numFmtId="14" fontId="3" fillId="0" borderId="0" xfId="0" applyNumberFormat="1" applyFont="1"/>
    <xf numFmtId="0" fontId="3" fillId="0" borderId="0" xfId="0" quotePrefix="1" applyFont="1"/>
    <xf numFmtId="4" fontId="3" fillId="0" borderId="0" xfId="0" applyNumberFormat="1" applyFont="1"/>
    <xf numFmtId="0" fontId="3" fillId="0" borderId="2" xfId="0" applyFont="1" applyBorder="1"/>
    <xf numFmtId="0" fontId="3" fillId="0" borderId="0" xfId="0" quotePrefix="1" applyFont="1" applyAlignment="1">
      <alignment horizontal="right"/>
    </xf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3" fillId="0" borderId="3" xfId="0" applyFont="1" applyBorder="1"/>
    <xf numFmtId="0" fontId="4" fillId="0" borderId="2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4" fontId="3" fillId="0" borderId="7" xfId="0" applyNumberFormat="1" applyFont="1" applyBorder="1"/>
    <xf numFmtId="0" fontId="3" fillId="0" borderId="8" xfId="0" applyFont="1" applyBorder="1"/>
    <xf numFmtId="0" fontId="12" fillId="0" borderId="0" xfId="0" applyFont="1"/>
    <xf numFmtId="1" fontId="3" fillId="0" borderId="0" xfId="0" applyNumberFormat="1" applyFont="1" applyAlignment="1">
      <alignment horizontal="left"/>
    </xf>
    <xf numFmtId="0" fontId="4" fillId="0" borderId="9" xfId="0" applyFont="1" applyBorder="1" applyAlignment="1">
      <alignment horizont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/>
    <xf numFmtId="0" fontId="8" fillId="0" borderId="0" xfId="0" applyFont="1" applyAlignment="1">
      <alignment horizontal="center" vertical="center"/>
    </xf>
    <xf numFmtId="1" fontId="3" fillId="0" borderId="0" xfId="0" quotePrefix="1" applyNumberFormat="1" applyFont="1" applyAlignment="1">
      <alignment horizontal="right" vertical="center"/>
    </xf>
    <xf numFmtId="0" fontId="4" fillId="2" borderId="10" xfId="0" applyFont="1" applyFill="1" applyBorder="1" applyAlignment="1">
      <alignment horizont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/>
    </xf>
    <xf numFmtId="1" fontId="2" fillId="0" borderId="0" xfId="0" applyNumberFormat="1" applyFont="1"/>
    <xf numFmtId="4" fontId="3" fillId="0" borderId="0" xfId="0" applyNumberFormat="1" applyFont="1" applyAlignment="1">
      <alignment horizontal="left"/>
    </xf>
    <xf numFmtId="49" fontId="3" fillId="0" borderId="0" xfId="0" applyNumberFormat="1" applyFont="1"/>
    <xf numFmtId="0" fontId="3" fillId="0" borderId="0" xfId="0" applyFont="1" applyAlignment="1">
      <alignment horizontal="centerContinuous" vertical="center"/>
    </xf>
    <xf numFmtId="14" fontId="3" fillId="0" borderId="0" xfId="0" applyNumberFormat="1" applyFont="1" applyAlignment="1">
      <alignment horizontal="center"/>
    </xf>
    <xf numFmtId="0" fontId="13" fillId="0" borderId="0" xfId="0" applyFont="1"/>
    <xf numFmtId="0" fontId="1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4" fillId="0" borderId="0" xfId="0" applyFont="1" applyAlignment="1">
      <alignment horizontal="center"/>
    </xf>
    <xf numFmtId="0" fontId="15" fillId="0" borderId="0" xfId="0" applyFont="1"/>
    <xf numFmtId="14" fontId="15" fillId="0" borderId="0" xfId="0" applyNumberFormat="1" applyFont="1" applyAlignment="1">
      <alignment vertical="center"/>
    </xf>
    <xf numFmtId="165" fontId="15" fillId="0" borderId="0" xfId="0" applyNumberFormat="1" applyFont="1" applyAlignment="1">
      <alignment horizontal="left" vertical="center"/>
    </xf>
    <xf numFmtId="0" fontId="16" fillId="0" borderId="0" xfId="0" applyFont="1"/>
    <xf numFmtId="4" fontId="3" fillId="0" borderId="0" xfId="0" applyNumberFormat="1" applyFont="1" applyAlignment="1">
      <alignment horizontal="center"/>
    </xf>
    <xf numFmtId="0" fontId="3" fillId="0" borderId="0" xfId="0" applyFont="1" applyAlignment="1">
      <alignment vertical="top"/>
    </xf>
    <xf numFmtId="0" fontId="10" fillId="0" borderId="0" xfId="0" applyFont="1"/>
    <xf numFmtId="0" fontId="4" fillId="0" borderId="0" xfId="0" applyFont="1" applyAlignment="1">
      <alignment horizontal="left" vertical="center"/>
    </xf>
    <xf numFmtId="0" fontId="17" fillId="0" borderId="0" xfId="0" applyFont="1" applyProtection="1">
      <protection locked="0"/>
    </xf>
    <xf numFmtId="14" fontId="3" fillId="3" borderId="0" xfId="0" applyNumberFormat="1" applyFont="1" applyFill="1"/>
    <xf numFmtId="0" fontId="0" fillId="3" borderId="0" xfId="0" applyFill="1"/>
    <xf numFmtId="4" fontId="0" fillId="3" borderId="0" xfId="0" applyNumberFormat="1" applyFill="1"/>
    <xf numFmtId="0" fontId="0" fillId="0" borderId="16" xfId="0" applyBorder="1"/>
    <xf numFmtId="0" fontId="0" fillId="3" borderId="16" xfId="0" applyFill="1" applyBorder="1"/>
    <xf numFmtId="14" fontId="3" fillId="0" borderId="0" xfId="0" applyNumberFormat="1" applyFont="1" applyAlignment="1">
      <alignment horizontal="left"/>
    </xf>
    <xf numFmtId="0" fontId="1" fillId="0" borderId="0" xfId="0" applyFont="1"/>
    <xf numFmtId="4" fontId="18" fillId="0" borderId="0" xfId="0" applyNumberFormat="1" applyFont="1"/>
    <xf numFmtId="0" fontId="1" fillId="0" borderId="16" xfId="0" quotePrefix="1" applyFont="1" applyBorder="1"/>
    <xf numFmtId="49" fontId="4" fillId="0" borderId="0" xfId="0" applyNumberFormat="1" applyFont="1"/>
    <xf numFmtId="49" fontId="4" fillId="0" borderId="0" xfId="0" applyNumberFormat="1" applyFont="1" applyAlignment="1">
      <alignment horizontal="center"/>
    </xf>
    <xf numFmtId="0" fontId="19" fillId="0" borderId="0" xfId="0" applyFont="1"/>
    <xf numFmtId="0" fontId="5" fillId="0" borderId="0" xfId="0" applyFont="1" applyAlignment="1">
      <alignment horizontal="left" vertical="center"/>
    </xf>
    <xf numFmtId="165" fontId="3" fillId="0" borderId="0" xfId="0" applyNumberFormat="1" applyFont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0" xfId="0" applyFont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2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0" fillId="4" borderId="17" xfId="0" applyFill="1" applyBorder="1"/>
  </cellXfs>
  <cellStyles count="23">
    <cellStyle name="Diseño" xfId="1" xr:uid="{00000000-0005-0000-0000-000000000000}"/>
    <cellStyle name="Diseño 10" xfId="2" xr:uid="{00000000-0005-0000-0000-000001000000}"/>
    <cellStyle name="Diseño 11" xfId="3" xr:uid="{00000000-0005-0000-0000-000002000000}"/>
    <cellStyle name="Diseño 12" xfId="4" xr:uid="{00000000-0005-0000-0000-000003000000}"/>
    <cellStyle name="Diseño 12 2" xfId="5" xr:uid="{00000000-0005-0000-0000-000004000000}"/>
    <cellStyle name="Diseño 2" xfId="6" xr:uid="{00000000-0005-0000-0000-000005000000}"/>
    <cellStyle name="Diseño 3" xfId="7" xr:uid="{00000000-0005-0000-0000-000006000000}"/>
    <cellStyle name="Diseño 4" xfId="8" xr:uid="{00000000-0005-0000-0000-000007000000}"/>
    <cellStyle name="Diseño 5" xfId="9" xr:uid="{00000000-0005-0000-0000-000008000000}"/>
    <cellStyle name="Diseño 6" xfId="10" xr:uid="{00000000-0005-0000-0000-000009000000}"/>
    <cellStyle name="Diseño 7" xfId="11" xr:uid="{00000000-0005-0000-0000-00000A000000}"/>
    <cellStyle name="Diseño 8" xfId="12" xr:uid="{00000000-0005-0000-0000-00000B000000}"/>
    <cellStyle name="Diseño 9" xfId="13" xr:uid="{00000000-0005-0000-0000-00000C000000}"/>
    <cellStyle name="Diseño_ATENCIONES" xfId="14" xr:uid="{00000000-0005-0000-0000-00000D000000}"/>
    <cellStyle name="Euro" xfId="15" xr:uid="{00000000-0005-0000-0000-00000E000000}"/>
    <cellStyle name="Euro 2" xfId="16" xr:uid="{00000000-0005-0000-0000-00000F000000}"/>
    <cellStyle name="Euro 2 2" xfId="17" xr:uid="{00000000-0005-0000-0000-000010000000}"/>
    <cellStyle name="Euro 3" xfId="18" xr:uid="{00000000-0005-0000-0000-000011000000}"/>
    <cellStyle name="Millares 2" xfId="19" xr:uid="{00000000-0005-0000-0000-000012000000}"/>
    <cellStyle name="Normal" xfId="0" builtinId="0"/>
    <cellStyle name="Normal 2" xfId="20" xr:uid="{00000000-0005-0000-0000-000014000000}"/>
    <cellStyle name="Normal 3" xfId="21" xr:uid="{00000000-0005-0000-0000-000015000000}"/>
    <cellStyle name="Normal 4" xfId="22" xr:uid="{00000000-0005-0000-0000-00001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37</xdr:row>
      <xdr:rowOff>76200</xdr:rowOff>
    </xdr:from>
    <xdr:to>
      <xdr:col>0</xdr:col>
      <xdr:colOff>1028700</xdr:colOff>
      <xdr:row>39</xdr:row>
      <xdr:rowOff>76200</xdr:rowOff>
    </xdr:to>
    <xdr:pic>
      <xdr:nvPicPr>
        <xdr:cNvPr id="21561" name="5 Imagen" descr="125440315@25082009-2D10">
          <a:extLst>
            <a:ext uri="{FF2B5EF4-FFF2-40B4-BE49-F238E27FC236}">
              <a16:creationId xmlns:a16="http://schemas.microsoft.com/office/drawing/2014/main" id="{00000000-0008-0000-0000-0000395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5695950"/>
          <a:ext cx="100965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19050</xdr:colOff>
      <xdr:row>0</xdr:row>
      <xdr:rowOff>19050</xdr:rowOff>
    </xdr:from>
    <xdr:to>
      <xdr:col>0</xdr:col>
      <xdr:colOff>1028700</xdr:colOff>
      <xdr:row>1</xdr:row>
      <xdr:rowOff>177800</xdr:rowOff>
    </xdr:to>
    <xdr:pic>
      <xdr:nvPicPr>
        <xdr:cNvPr id="21562" name="5 Imagen" descr="125440315@25082009-2D10">
          <a:extLst>
            <a:ext uri="{FF2B5EF4-FFF2-40B4-BE49-F238E27FC236}">
              <a16:creationId xmlns:a16="http://schemas.microsoft.com/office/drawing/2014/main" id="{00000000-0008-0000-0000-00003A5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9050"/>
          <a:ext cx="100965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Q60"/>
  <sheetViews>
    <sheetView tabSelected="1" zoomScale="110" zoomScaleNormal="110" workbookViewId="0">
      <selection activeCell="D57" sqref="D57"/>
    </sheetView>
  </sheetViews>
  <sheetFormatPr baseColWidth="10" defaultColWidth="11.42578125" defaultRowHeight="13.5" x14ac:dyDescent="0.25"/>
  <cols>
    <col min="1" max="1" width="21.42578125" style="1" customWidth="1"/>
    <col min="2" max="2" width="20.140625" style="1" customWidth="1"/>
    <col min="3" max="3" width="10.28515625" style="1" customWidth="1"/>
    <col min="4" max="4" width="10" style="1" customWidth="1"/>
    <col min="5" max="5" width="13.7109375" style="1" customWidth="1"/>
    <col min="6" max="6" width="7.85546875" style="1" customWidth="1"/>
    <col min="7" max="7" width="29.28515625" style="1" customWidth="1"/>
    <col min="8" max="8" width="3.85546875" style="1" customWidth="1"/>
    <col min="9" max="9" width="24.85546875" style="1" customWidth="1"/>
    <col min="10" max="10" width="37.28515625" style="1" customWidth="1"/>
    <col min="11" max="11" width="12.28515625" style="1" bestFit="1" customWidth="1"/>
    <col min="12" max="12" width="13.85546875" style="1" customWidth="1"/>
    <col min="13" max="13" width="11.42578125" style="1"/>
    <col min="14" max="14" width="21.28515625" style="1" customWidth="1"/>
    <col min="15" max="16" width="11.42578125" style="1"/>
    <col min="17" max="17" width="13.140625" style="1" customWidth="1"/>
    <col min="18" max="16384" width="11.42578125" style="1"/>
  </cols>
  <sheetData>
    <row r="1" spans="1:15" ht="10.5" customHeight="1" x14ac:dyDescent="0.25">
      <c r="J1" s="3"/>
    </row>
    <row r="2" spans="1:15" ht="16.5" x14ac:dyDescent="0.25">
      <c r="C2" s="24"/>
      <c r="D2" s="25" t="s">
        <v>9</v>
      </c>
      <c r="H2" s="1">
        <v>8000</v>
      </c>
      <c r="J2" s="4"/>
    </row>
    <row r="3" spans="1:15" ht="10.5" customHeight="1" x14ac:dyDescent="0.25">
      <c r="H3" s="1">
        <v>5000</v>
      </c>
    </row>
    <row r="4" spans="1:15" ht="12" customHeight="1" x14ac:dyDescent="0.25">
      <c r="A4" s="1" t="s">
        <v>25</v>
      </c>
      <c r="I4" s="22" t="s">
        <v>18</v>
      </c>
      <c r="J4" s="40">
        <f ca="1">+TODAY()</f>
        <v>46237</v>
      </c>
    </row>
    <row r="5" spans="1:15" ht="12" customHeight="1" x14ac:dyDescent="0.25">
      <c r="A5" s="1" t="s">
        <v>66</v>
      </c>
      <c r="I5" s="22" t="s">
        <v>19</v>
      </c>
      <c r="J5" s="26">
        <f ca="1">+TODAY()</f>
        <v>46237</v>
      </c>
    </row>
    <row r="6" spans="1:15" ht="12" customHeight="1" x14ac:dyDescent="0.25">
      <c r="A6" s="1" t="s">
        <v>67</v>
      </c>
      <c r="I6" s="22" t="s">
        <v>13</v>
      </c>
      <c r="J6" s="72" t="s">
        <v>70</v>
      </c>
      <c r="K6" s="51"/>
      <c r="L6" s="51"/>
      <c r="M6" s="52"/>
      <c r="N6" s="51"/>
      <c r="O6" s="49"/>
    </row>
    <row r="7" spans="1:15" ht="12" customHeight="1" x14ac:dyDescent="0.25">
      <c r="A7" s="30" t="str">
        <f>+J6</f>
        <v>JHONY IRVYN CASTRO CARREÑO</v>
      </c>
      <c r="C7" s="12" t="s">
        <v>14</v>
      </c>
      <c r="D7" s="2">
        <f>+J7</f>
        <v>45846568</v>
      </c>
      <c r="E7" s="1" t="s">
        <v>26</v>
      </c>
      <c r="G7" s="46" t="str">
        <f>J8</f>
        <v>av piramide del sol 680</v>
      </c>
      <c r="I7" s="22" t="s">
        <v>42</v>
      </c>
      <c r="J7" s="56">
        <v>45846568</v>
      </c>
    </row>
    <row r="8" spans="1:15" ht="12" customHeight="1" x14ac:dyDescent="0.3">
      <c r="A8" s="2" t="str">
        <f>+J9</f>
        <v>san isidro</v>
      </c>
      <c r="B8" s="1" t="s">
        <v>64</v>
      </c>
      <c r="C8" s="1" t="str">
        <f>+J10</f>
        <v>arequipa</v>
      </c>
      <c r="D8" s="1" t="s">
        <v>63</v>
      </c>
      <c r="I8" s="22" t="s">
        <v>4</v>
      </c>
      <c r="J8" s="59" t="s">
        <v>71</v>
      </c>
    </row>
    <row r="9" spans="1:15" ht="12" customHeight="1" x14ac:dyDescent="0.3">
      <c r="A9" s="1" t="s">
        <v>60</v>
      </c>
      <c r="I9" s="22" t="s">
        <v>43</v>
      </c>
      <c r="J9" s="59" t="s">
        <v>72</v>
      </c>
    </row>
    <row r="10" spans="1:15" ht="14.25" customHeight="1" x14ac:dyDescent="0.3">
      <c r="I10" s="1" t="s">
        <v>62</v>
      </c>
      <c r="J10" s="59" t="s">
        <v>73</v>
      </c>
    </row>
    <row r="11" spans="1:15" ht="12" customHeight="1" x14ac:dyDescent="0.25">
      <c r="A11" s="23" t="s">
        <v>36</v>
      </c>
      <c r="E11" s="53">
        <f ca="1">+J4</f>
        <v>46237</v>
      </c>
      <c r="F11" s="29" t="s">
        <v>17</v>
      </c>
      <c r="I11" s="39" t="s">
        <v>47</v>
      </c>
      <c r="J11" s="54" t="s">
        <v>68</v>
      </c>
      <c r="K11" s="8" t="s">
        <v>44</v>
      </c>
      <c r="L11" s="57" t="s">
        <v>69</v>
      </c>
      <c r="M11" s="32"/>
    </row>
    <row r="12" spans="1:15" ht="12" customHeight="1" x14ac:dyDescent="0.25">
      <c r="A12" s="1" t="s">
        <v>10</v>
      </c>
    </row>
    <row r="13" spans="1:15" ht="12" customHeight="1" x14ac:dyDescent="0.25">
      <c r="I13" s="2" t="s">
        <v>52</v>
      </c>
      <c r="J13" s="42" t="s">
        <v>53</v>
      </c>
    </row>
    <row r="14" spans="1:15" ht="12" customHeight="1" x14ac:dyDescent="0.25">
      <c r="A14" s="37" t="str">
        <f>+I11</f>
        <v>TARJETA DE CRÉDITO N°</v>
      </c>
      <c r="B14" s="37" t="str">
        <f>+J11</f>
        <v>377754*****7642-7677721</v>
      </c>
      <c r="C14" s="33"/>
      <c r="D14" s="8" t="str">
        <f>K11</f>
        <v xml:space="preserve">con CJ </v>
      </c>
      <c r="E14" s="58" t="str">
        <f>L11</f>
        <v>0047646338</v>
      </c>
      <c r="F14" s="29" t="s">
        <v>45</v>
      </c>
      <c r="I14" s="28" t="s">
        <v>37</v>
      </c>
      <c r="J14" s="50">
        <f>J16-J15</f>
        <v>3199.0300000000007</v>
      </c>
    </row>
    <row r="15" spans="1:15" ht="12" customHeight="1" x14ac:dyDescent="0.25">
      <c r="A15" s="1" t="s">
        <v>56</v>
      </c>
      <c r="F15" s="43" t="str">
        <f>J13</f>
        <v>S/.</v>
      </c>
      <c r="G15" s="31">
        <f>+J16</f>
        <v>9199.0300000000007</v>
      </c>
      <c r="I15" s="28" t="s">
        <v>38</v>
      </c>
      <c r="J15" s="55">
        <v>6000</v>
      </c>
    </row>
    <row r="16" spans="1:15" x14ac:dyDescent="0.25">
      <c r="I16" s="28" t="s">
        <v>65</v>
      </c>
      <c r="J16" s="55">
        <v>9199.0300000000007</v>
      </c>
    </row>
    <row r="17" spans="1:17" ht="9" customHeight="1" x14ac:dyDescent="0.25">
      <c r="I17" s="22" t="s">
        <v>15</v>
      </c>
      <c r="J17" s="22">
        <v>1</v>
      </c>
      <c r="K17" s="22">
        <v>1</v>
      </c>
    </row>
    <row r="18" spans="1:17" ht="12" customHeight="1" x14ac:dyDescent="0.25">
      <c r="A18" s="60" t="s">
        <v>29</v>
      </c>
      <c r="B18" s="60"/>
      <c r="C18" s="60"/>
      <c r="D18" s="60"/>
      <c r="E18" s="60"/>
      <c r="F18" s="60"/>
      <c r="G18" s="60"/>
      <c r="I18" s="22" t="s">
        <v>16</v>
      </c>
      <c r="J18" s="22"/>
      <c r="K18" s="48">
        <v>46045</v>
      </c>
    </row>
    <row r="19" spans="1:17" ht="10.5" customHeight="1" x14ac:dyDescent="0.25">
      <c r="A19" s="44" t="s">
        <v>28</v>
      </c>
      <c r="I19" s="41">
        <f ca="1">TODAY()</f>
        <v>46237</v>
      </c>
      <c r="K19" s="22"/>
    </row>
    <row r="20" spans="1:17" ht="12" customHeight="1" x14ac:dyDescent="0.25">
      <c r="A20" s="22" t="str">
        <f>+I11</f>
        <v>TARJETA DE CRÉDITO N°</v>
      </c>
      <c r="B20" s="22" t="str">
        <f>+J11</f>
        <v>377754*****7642-7677721</v>
      </c>
      <c r="I20" s="22" t="s">
        <v>24</v>
      </c>
      <c r="J20" s="22"/>
      <c r="K20" s="38" t="s">
        <v>61</v>
      </c>
    </row>
    <row r="21" spans="1:17" ht="12" customHeight="1" x14ac:dyDescent="0.25">
      <c r="A21" s="2" t="s">
        <v>55</v>
      </c>
      <c r="B21" s="2"/>
      <c r="C21" s="12" t="str">
        <f>J13</f>
        <v>S/.</v>
      </c>
      <c r="D21" s="5">
        <f>+J15</f>
        <v>6000</v>
      </c>
      <c r="I21" s="35" t="s">
        <v>48</v>
      </c>
    </row>
    <row r="22" spans="1:17" ht="12" customHeight="1" x14ac:dyDescent="0.25">
      <c r="A22" s="1" t="s">
        <v>50</v>
      </c>
      <c r="C22" s="19"/>
      <c r="D22" s="7">
        <f>+K17</f>
        <v>1</v>
      </c>
      <c r="I22" s="36" t="s">
        <v>47</v>
      </c>
      <c r="K22" s="8"/>
    </row>
    <row r="23" spans="1:17" ht="12" customHeight="1" x14ac:dyDescent="0.25">
      <c r="A23" s="1" t="s">
        <v>40</v>
      </c>
      <c r="C23" s="19"/>
      <c r="D23" s="8" t="s">
        <v>35</v>
      </c>
      <c r="I23" s="35" t="s">
        <v>46</v>
      </c>
      <c r="K23" s="8"/>
    </row>
    <row r="24" spans="1:17" ht="12" customHeight="1" x14ac:dyDescent="0.25">
      <c r="A24" s="1" t="s">
        <v>51</v>
      </c>
      <c r="C24" s="19"/>
      <c r="D24" s="3">
        <f>+K18</f>
        <v>46045</v>
      </c>
      <c r="I24" s="35" t="s">
        <v>49</v>
      </c>
      <c r="J24" s="2" t="s">
        <v>27</v>
      </c>
    </row>
    <row r="25" spans="1:17" ht="9" customHeight="1" x14ac:dyDescent="0.25">
      <c r="D25" s="3"/>
    </row>
    <row r="26" spans="1:17" ht="12" customHeight="1" x14ac:dyDescent="0.25">
      <c r="A26" s="23" t="s">
        <v>31</v>
      </c>
      <c r="I26" s="1" t="s">
        <v>53</v>
      </c>
    </row>
    <row r="27" spans="1:17" ht="12" customHeight="1" x14ac:dyDescent="0.25">
      <c r="A27" s="1" t="s">
        <v>32</v>
      </c>
      <c r="I27" s="1" t="s">
        <v>54</v>
      </c>
    </row>
    <row r="28" spans="1:17" ht="12.75" customHeight="1" x14ac:dyDescent="0.25">
      <c r="A28" s="1" t="s">
        <v>30</v>
      </c>
      <c r="J28" s="22"/>
    </row>
    <row r="29" spans="1:17" ht="12" customHeight="1" x14ac:dyDescent="0.25">
      <c r="A29" s="23" t="s">
        <v>34</v>
      </c>
    </row>
    <row r="30" spans="1:17" ht="12" customHeight="1" x14ac:dyDescent="0.25">
      <c r="A30" s="1" t="s">
        <v>33</v>
      </c>
    </row>
    <row r="31" spans="1:17" ht="12" customHeight="1" x14ac:dyDescent="0.25">
      <c r="A31" s="22" t="s">
        <v>59</v>
      </c>
      <c r="I31" s="22"/>
      <c r="Q31" s="22"/>
    </row>
    <row r="32" spans="1:17" ht="12" customHeight="1" x14ac:dyDescent="0.25">
      <c r="A32" s="1" t="s">
        <v>58</v>
      </c>
    </row>
    <row r="33" spans="1:14" ht="12" customHeight="1" x14ac:dyDescent="0.25">
      <c r="A33" s="22" t="s">
        <v>41</v>
      </c>
      <c r="B33" s="22"/>
    </row>
    <row r="34" spans="1:14" ht="12" customHeight="1" x14ac:dyDescent="0.25">
      <c r="A34" s="1" t="s">
        <v>57</v>
      </c>
      <c r="J34" s="3"/>
    </row>
    <row r="35" spans="1:14" ht="12" customHeight="1" x14ac:dyDescent="0.25">
      <c r="J35" s="3"/>
    </row>
    <row r="36" spans="1:14" ht="12" customHeight="1" x14ac:dyDescent="0.25">
      <c r="J36" s="3"/>
    </row>
    <row r="37" spans="1:14" ht="12" customHeight="1" thickBot="1" x14ac:dyDescent="0.3">
      <c r="J37" s="3"/>
    </row>
    <row r="38" spans="1:14" x14ac:dyDescent="0.25">
      <c r="F38" s="62" t="s">
        <v>1</v>
      </c>
      <c r="G38" s="63"/>
    </row>
    <row r="39" spans="1:14" ht="10.5" customHeight="1" x14ac:dyDescent="0.25">
      <c r="C39" s="64" t="s">
        <v>39</v>
      </c>
      <c r="D39" s="64"/>
      <c r="E39" s="65"/>
      <c r="F39" s="66"/>
      <c r="G39" s="67"/>
    </row>
    <row r="40" spans="1:14" x14ac:dyDescent="0.25">
      <c r="C40" s="68"/>
      <c r="D40" s="68"/>
      <c r="E40" s="68"/>
      <c r="F40" s="66" t="s">
        <v>0</v>
      </c>
      <c r="G40" s="67"/>
    </row>
    <row r="41" spans="1:14" x14ac:dyDescent="0.25">
      <c r="A41" s="2" t="s">
        <v>20</v>
      </c>
      <c r="B41" s="45" t="str">
        <f>+J6</f>
        <v>JHONY IRVYN CASTRO CARREÑO</v>
      </c>
      <c r="D41" s="12" t="s">
        <v>21</v>
      </c>
      <c r="E41" s="1">
        <f>+J7</f>
        <v>45846568</v>
      </c>
      <c r="F41" s="11" t="s">
        <v>8</v>
      </c>
      <c r="G41" s="27" t="str">
        <f>K20</f>
        <v>0850-2018-PU</v>
      </c>
    </row>
    <row r="42" spans="1:14" ht="14.25" thickBot="1" x14ac:dyDescent="0.3">
      <c r="A42" s="2" t="s">
        <v>4</v>
      </c>
      <c r="B42" s="45" t="str">
        <f>+J8</f>
        <v>av piramide del sol 680</v>
      </c>
      <c r="F42" s="13"/>
      <c r="G42" s="14"/>
      <c r="N42" s="22"/>
    </row>
    <row r="43" spans="1:14" ht="14.25" thickBot="1" x14ac:dyDescent="0.3">
      <c r="B43" s="45" t="str">
        <f>+J9</f>
        <v>san isidro</v>
      </c>
    </row>
    <row r="44" spans="1:14" ht="14.25" thickBot="1" x14ac:dyDescent="0.3">
      <c r="A44" s="69" t="s">
        <v>2</v>
      </c>
      <c r="B44" s="70"/>
      <c r="C44" s="70"/>
      <c r="D44" s="70"/>
      <c r="E44" s="70"/>
      <c r="F44" s="71"/>
      <c r="G44" s="21" t="s">
        <v>3</v>
      </c>
    </row>
    <row r="45" spans="1:14" x14ac:dyDescent="0.25">
      <c r="A45" s="6"/>
      <c r="G45" s="15"/>
    </row>
    <row r="46" spans="1:14" x14ac:dyDescent="0.25">
      <c r="A46" s="6" t="s">
        <v>7</v>
      </c>
      <c r="G46" s="16"/>
    </row>
    <row r="47" spans="1:14" x14ac:dyDescent="0.25">
      <c r="A47" s="6" t="s">
        <v>22</v>
      </c>
      <c r="B47" s="34">
        <f ca="1">+J4</f>
        <v>46237</v>
      </c>
      <c r="C47" s="1" t="s">
        <v>23</v>
      </c>
      <c r="G47" s="16"/>
    </row>
    <row r="48" spans="1:14" x14ac:dyDescent="0.25">
      <c r="A48" s="6" t="str">
        <f>+I11</f>
        <v>TARJETA DE CRÉDITO N°</v>
      </c>
      <c r="B48" s="6" t="str">
        <f>+J11</f>
        <v>377754*****7642-7677721</v>
      </c>
      <c r="C48" s="8" t="str">
        <f>K11</f>
        <v xml:space="preserve">con CJ </v>
      </c>
      <c r="D48" s="32" t="str">
        <f>L11</f>
        <v>0047646338</v>
      </c>
      <c r="F48" s="8" t="str">
        <f>J13</f>
        <v>S/.</v>
      </c>
      <c r="G48" s="17">
        <f>+J14</f>
        <v>3199.0300000000007</v>
      </c>
    </row>
    <row r="49" spans="1:7" x14ac:dyDescent="0.25">
      <c r="A49" s="6"/>
      <c r="G49" s="16"/>
    </row>
    <row r="50" spans="1:7" ht="14.25" thickBot="1" x14ac:dyDescent="0.3">
      <c r="A50" s="13"/>
      <c r="B50" s="10"/>
      <c r="C50" s="10"/>
      <c r="D50" s="10"/>
      <c r="E50" s="10"/>
      <c r="F50" s="10"/>
      <c r="G50" s="18"/>
    </row>
    <row r="51" spans="1:7" x14ac:dyDescent="0.25">
      <c r="A51" s="2" t="s">
        <v>5</v>
      </c>
      <c r="B51" s="1" t="s">
        <v>6</v>
      </c>
    </row>
    <row r="52" spans="1:7" ht="8.25" customHeight="1" x14ac:dyDescent="0.25">
      <c r="E52" s="9"/>
    </row>
    <row r="53" spans="1:7" x14ac:dyDescent="0.25">
      <c r="E53" s="20"/>
      <c r="F53" s="61">
        <f ca="1">I19</f>
        <v>46237</v>
      </c>
      <c r="G53" s="61"/>
    </row>
    <row r="57" spans="1:7" ht="14.25" thickBot="1" x14ac:dyDescent="0.3">
      <c r="A57" s="10"/>
      <c r="B57" s="10"/>
      <c r="C57" s="10"/>
      <c r="E57" s="10"/>
      <c r="F57" s="10"/>
      <c r="G57" s="10"/>
    </row>
    <row r="58" spans="1:7" x14ac:dyDescent="0.25">
      <c r="B58" s="2"/>
      <c r="F58" s="2"/>
    </row>
    <row r="59" spans="1:7" x14ac:dyDescent="0.25">
      <c r="B59" s="2" t="s">
        <v>11</v>
      </c>
      <c r="C59" s="2"/>
      <c r="D59" s="2"/>
      <c r="E59" s="2"/>
      <c r="F59" s="2" t="s">
        <v>12</v>
      </c>
    </row>
    <row r="60" spans="1:7" x14ac:dyDescent="0.25">
      <c r="A60" s="47"/>
    </row>
  </sheetData>
  <mergeCells count="8">
    <mergeCell ref="A18:G18"/>
    <mergeCell ref="F53:G53"/>
    <mergeCell ref="F38:G38"/>
    <mergeCell ref="C39:E39"/>
    <mergeCell ref="F39:G39"/>
    <mergeCell ref="C40:E40"/>
    <mergeCell ref="F40:G40"/>
    <mergeCell ref="A44:F44"/>
  </mergeCells>
  <dataValidations count="2">
    <dataValidation type="list" allowBlank="1" showInputMessage="1" showErrorMessage="1" sqref="I11" xr:uid="{00000000-0002-0000-0000-000000000000}">
      <formula1>$I$21:$I$24</formula1>
    </dataValidation>
    <dataValidation type="list" allowBlank="1" showInputMessage="1" showErrorMessage="1" sqref="J13" xr:uid="{00000000-0002-0000-0000-000001000000}">
      <formula1>$I$26:$I$27</formula1>
    </dataValidation>
  </dataValidations>
  <printOptions horizontalCentered="1" verticalCentered="1"/>
  <pageMargins left="0.25" right="0.25" top="0.75" bottom="0.75" header="0.3" footer="0.3"/>
  <pageSetup paperSize="256" scale="9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SOLES</vt:lpstr>
      <vt:lpstr>SOLES!Área_de_impresión</vt:lpstr>
    </vt:vector>
  </TitlesOfParts>
  <Company>Interbank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Zevallos Durand, Grethel Narciza</cp:lastModifiedBy>
  <cp:lastPrinted>2026-08-03T16:27:58Z</cp:lastPrinted>
  <dcterms:created xsi:type="dcterms:W3CDTF">2003-12-04T20:40:45Z</dcterms:created>
  <dcterms:modified xsi:type="dcterms:W3CDTF">2026-08-03T16:30:17Z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ripCompliance">
    <vt:lpwstr>KripPD</vt:lpwstr>
  </property>
  <property fmtid="{D5CDD505-2E9C-101B-9397-08002B2CF9AE}" pid="3" name="KriptosClassAi">
    <vt:lpwstr>1-Uso Interno</vt:lpwstr>
  </property>
</Properties>
</file>